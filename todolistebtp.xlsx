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<sst xmlns="http://schemas.openxmlformats.org/spreadsheetml/2006/main" count="178" uniqueCount="82">
  <si>
    <t xml:space="preserve">ETU 1786</t>
  </si>
  <si>
    <t xml:space="preserve">MAMIARIVONY</t>
  </si>
  <si>
    <t xml:space="preserve">MIRADO IFALIANA</t>
  </si>
  <si>
    <t xml:space="preserve">Catégorie</t>
  </si>
  <si>
    <t xml:space="preserve">Taches</t>
  </si>
  <si>
    <t xml:space="preserve">Type</t>
  </si>
  <si>
    <t xml:space="preserve">Estimation(min)</t>
  </si>
  <si>
    <t xml:space="preserve">Temps passé(min)</t>
  </si>
  <si>
    <t xml:space="preserve">Reste à faire(min)</t>
  </si>
  <si>
    <t xml:space="preserve">Avancement(%)</t>
  </si>
  <si>
    <t xml:space="preserve">JOUR1</t>
  </si>
  <si>
    <t xml:space="preserve">Conception</t>
  </si>
  <si>
    <t xml:space="preserve">table</t>
  </si>
  <si>
    <t xml:space="preserve">MCD</t>
  </si>
  <si>
    <t xml:space="preserve">Insertion table</t>
  </si>
  <si>
    <t xml:space="preserve">SQL</t>
  </si>
  <si>
    <t xml:space="preserve">Donne test</t>
  </si>
  <si>
    <t xml:space="preserve">donnee test(type maison,finition,devis,client,admin)</t>
  </si>
  <si>
    <t xml:space="preserve">CLIENT</t>
  </si>
  <si>
    <t xml:space="preserve">Login client</t>
  </si>
  <si>
    <t xml:space="preserve">formulaire numero</t>
  </si>
  <si>
    <t xml:space="preserve">Page</t>
  </si>
  <si>
    <t xml:space="preserve">enregistrement ou session </t>
  </si>
  <si>
    <t xml:space="preserve">metier</t>
  </si>
  <si>
    <t xml:space="preserve">Acceuil</t>
  </si>
  <si>
    <t xml:space="preserve">page d’acceuil client</t>
  </si>
  <si>
    <t xml:space="preserve">page</t>
  </si>
  <si>
    <t xml:space="preserve">Creation devis</t>
  </si>
  <si>
    <t xml:space="preserve">liste type maison</t>
  </si>
  <si>
    <t xml:space="preserve">Metier</t>
  </si>
  <si>
    <t xml:space="preserve">choix finition et date debut</t>
  </si>
  <si>
    <t xml:space="preserve">Enregistrement devis client</t>
  </si>
  <si>
    <t xml:space="preserve">Liste devis client et Payement</t>
  </si>
  <si>
    <t xml:space="preserve">Liste devis du client
+ button tp pdf</t>
  </si>
  <si>
    <t xml:space="preserve">To pdf du detail devis</t>
  </si>
  <si>
    <t xml:space="preserve">Liste devis du client </t>
  </si>
  <si>
    <t xml:space="preserve">Liste devis du client</t>
  </si>
  <si>
    <t xml:space="preserve">SQLview</t>
  </si>
  <si>
    <t xml:space="preserve">detail devis et payment(montant et date)</t>
  </si>
  <si>
    <t xml:space="preserve">detail devis </t>
  </si>
  <si>
    <t xml:space="preserve">ADMIN</t>
  </si>
  <si>
    <t xml:space="preserve">Login admin</t>
  </si>
  <si>
    <t xml:space="preserve">formulaire login/pwd</t>
  </si>
  <si>
    <t xml:space="preserve">session</t>
  </si>
  <si>
    <t xml:space="preserve">page d’acceuil Admin</t>
  </si>
  <si>
    <t xml:space="preserve">Detail devis</t>
  </si>
  <si>
    <t xml:space="preserve">Liste devis encour (date&gt;=datenow)</t>
  </si>
  <si>
    <t xml:space="preserve">sqlview</t>
  </si>
  <si>
    <t xml:space="preserve">detail devis</t>
  </si>
  <si>
    <t xml:space="preserve">Tableau de bord</t>
  </si>
  <si>
    <t xml:space="preserve">histogramme devis par mois (filtrer par annee) 
et devis total en cette annee</t>
  </si>
  <si>
    <t xml:space="preserve">devis par mois par annee</t>
  </si>
  <si>
    <t xml:space="preserve">TOTAL </t>
  </si>
  <si>
    <t xml:space="preserve">Moyenne avancement</t>
  </si>
  <si>
    <t xml:space="preserve">JOUR2</t>
  </si>
  <si>
    <t xml:space="preserve">TOTAL HEURE</t>
  </si>
  <si>
    <t xml:space="preserve">Importation donnee</t>
  </si>
  <si>
    <t xml:space="preserve">table(maisontravauxcsv,deviscsv,payementcsv)</t>
  </si>
  <si>
    <t xml:space="preserve">Importation + insertion de ces donnees csv</t>
  </si>
  <si>
    <t xml:space="preserve">formulaire d’importation
(maison travaux,devis,payement)</t>
  </si>
  <si>
    <t xml:space="preserve">Importation
(maison travaux,devis,payement) vers table convenable</t>
  </si>
  <si>
    <t xml:space="preserve">paiement effectu + % paye par rapport 
au montant total du devis</t>
  </si>
  <si>
    <t xml:space="preserve">paiement effectu + % paye </t>
  </si>
  <si>
    <t xml:space="preserve">Afficher paiement effectu + % paye </t>
  </si>
  <si>
    <t xml:space="preserve">tableau de bord:
Le montant total de paiement effectué</t>
  </si>
  <si>
    <t xml:space="preserve">montant total de paiement effectué</t>
  </si>
  <si>
    <t xml:space="preserve">Liste des types de travaux et
lien vers  modifier type de travaux </t>
  </si>
  <si>
    <t xml:space="preserve">Liste types travaux(+ lien modif)</t>
  </si>
  <si>
    <t xml:space="preserve">liste types travaux</t>
  </si>
  <si>
    <t xml:space="preserve">liste types travaux (designation,prixunitaire…)</t>
  </si>
  <si>
    <t xml:space="preserve">SQL VIEW</t>
  </si>
  <si>
    <t xml:space="preserve">modifier type de travaux</t>
  </si>
  <si>
    <t xml:space="preserve">Liste des types de finition et
lien vers modifier % du type de finition</t>
  </si>
  <si>
    <t xml:space="preserve">liste des types de finition(+ lien vers modif)</t>
  </si>
  <si>
    <t xml:space="preserve">liste des types de finition</t>
  </si>
  <si>
    <t xml:space="preserve">modifier % du type de finition</t>
  </si>
  <si>
    <t xml:space="preserve">Validation AJAX lors du paiement</t>
  </si>
  <si>
    <t xml:space="preserve">Transformation Validation AJAX lors du paiement</t>
  </si>
  <si>
    <t xml:space="preserve">Controlle et message erreur</t>
  </si>
  <si>
    <t xml:space="preserve">Affichage Controlle et message erreur</t>
  </si>
  <si>
    <t xml:space="preserve">TOTAL Min</t>
  </si>
  <si>
    <t xml:space="preserve">TOTAL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</si>
</sst>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EEEEEE"/>
      <name val="Calibri"/>
      <family val="2"/>
      <charset val="1"/>
    </font>
    <font>
      <b val="true"/>
      <sz val="11"/>
      <color rgb="FF1111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3465A4"/>
        <bgColor rgb="FF0066CC"/>
      </patternFill>
    </fill>
    <fill>
      <patternFill patternType="solid">
        <fgColor rgb="FF2E2706"/>
        <bgColor rgb="FF333333"/>
      </patternFill>
    </fill>
    <fill>
      <patternFill patternType="solid">
        <fgColor rgb="FFFFAA95"/>
        <bgColor rgb="FFFFA6A6"/>
      </patternFill>
    </fill>
    <fill>
      <patternFill patternType="solid">
        <fgColor rgb="FFFFA6A6"/>
        <bgColor rgb="FFFFAA95"/>
      </patternFill>
    </fill>
    <fill>
      <patternFill patternType="solid">
        <fgColor rgb="FFFFFFFF"/>
        <bgColor rgb="FFEEEEEE"/>
      </patternFill>
    </fill>
    <fill>
      <patternFill patternType="solid">
        <fgColor rgb="FFB2B2B2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AA95"/>
      <rgbColor rgb="FF3465A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2E27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6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62" activeCellId="0" sqref="I6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.62"/>
    <col collapsed="false" customWidth="true" hidden="false" outlineLevel="0" max="2" min="2" style="1" width="55.09"/>
    <col collapsed="false" customWidth="true" hidden="false" outlineLevel="0" max="3" min="3" style="1" width="30.35"/>
    <col collapsed="false" customWidth="true" hidden="false" outlineLevel="0" max="4" min="4" style="1" width="22.43"/>
    <col collapsed="false" customWidth="true" hidden="false" outlineLevel="0" max="5" min="5" style="1" width="19.77"/>
    <col collapsed="false" customWidth="true" hidden="false" outlineLevel="0" max="6" min="6" style="1" width="22.03"/>
    <col collapsed="false" customWidth="true" hidden="false" outlineLevel="0" max="7" min="7" style="1" width="13.66"/>
    <col collapsed="false" customWidth="true" hidden="false" outlineLevel="0" max="8" min="8" style="1" width="19.33"/>
  </cols>
  <sheetData>
    <row r="1" customFormat="false" ht="13.8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3.8" hidden="false" customHeight="false" outlineLevel="0" collapsed="false"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</row>
    <row r="3" customFormat="false" ht="13.8" hidden="false" customHeight="false" outlineLevel="0" collapsed="false">
      <c r="C3" s="4" t="s">
        <v>10</v>
      </c>
      <c r="D3" s="5"/>
      <c r="E3" s="5"/>
      <c r="F3" s="5"/>
      <c r="G3" s="5"/>
      <c r="H3" s="5"/>
      <c r="I3" s="5"/>
      <c r="J3" s="1"/>
    </row>
    <row r="4" customFormat="false" ht="13.8" hidden="false" customHeight="false" outlineLevel="0" collapsed="false">
      <c r="C4" s="5" t="s">
        <v>11</v>
      </c>
      <c r="D4" s="5" t="s">
        <v>12</v>
      </c>
      <c r="E4" s="5" t="s">
        <v>13</v>
      </c>
      <c r="F4" s="5" t="n">
        <v>40</v>
      </c>
      <c r="G4" s="5" t="n">
        <v>60</v>
      </c>
      <c r="H4" s="5" t="n">
        <f aca="false">F4-((I4*F4)/100)</f>
        <v>0</v>
      </c>
      <c r="I4" s="5" t="n">
        <v>100</v>
      </c>
      <c r="J4" s="1"/>
    </row>
    <row r="5" customFormat="false" ht="13.8" hidden="false" customHeight="false" outlineLevel="0" collapsed="false">
      <c r="C5" s="5" t="s">
        <v>11</v>
      </c>
      <c r="D5" s="5" t="s">
        <v>14</v>
      </c>
      <c r="E5" s="5" t="s">
        <v>15</v>
      </c>
      <c r="F5" s="5" t="n">
        <v>10</v>
      </c>
      <c r="G5" s="5" t="n">
        <v>8</v>
      </c>
      <c r="H5" s="5" t="n">
        <f aca="false">F5-((I5*F5)/100)</f>
        <v>0</v>
      </c>
      <c r="I5" s="5" t="n">
        <v>100</v>
      </c>
      <c r="J5" s="1"/>
    </row>
    <row r="6" customFormat="false" ht="13.8" hidden="false" customHeight="false" outlineLevel="0" collapsed="false">
      <c r="C6" s="5" t="s">
        <v>16</v>
      </c>
      <c r="D6" s="5" t="s">
        <v>17</v>
      </c>
      <c r="E6" s="5" t="s">
        <v>15</v>
      </c>
      <c r="F6" s="5" t="n">
        <v>15</v>
      </c>
      <c r="G6" s="5" t="n">
        <v>15</v>
      </c>
      <c r="H6" s="5" t="n">
        <f aca="false">F6-((I6*F6)/100)</f>
        <v>0</v>
      </c>
      <c r="I6" s="5" t="n">
        <v>100</v>
      </c>
      <c r="J6" s="1"/>
    </row>
    <row r="7" customFormat="false" ht="13.8" hidden="false" customHeight="false" outlineLevel="0" collapsed="false">
      <c r="C7" s="6" t="s">
        <v>18</v>
      </c>
      <c r="D7" s="6"/>
      <c r="E7" s="6"/>
      <c r="F7" s="7"/>
      <c r="G7" s="7"/>
      <c r="H7" s="7" t="n">
        <f aca="false">F7-((I7*F7)/100)</f>
        <v>0</v>
      </c>
      <c r="I7" s="7"/>
      <c r="J7" s="1"/>
    </row>
    <row r="8" customFormat="false" ht="13.8" hidden="false" customHeight="false" outlineLevel="0" collapsed="false">
      <c r="C8" s="5" t="s">
        <v>19</v>
      </c>
      <c r="D8" s="5" t="s">
        <v>20</v>
      </c>
      <c r="E8" s="5" t="s">
        <v>21</v>
      </c>
      <c r="F8" s="5" t="n">
        <v>10</v>
      </c>
      <c r="G8" s="5" t="n">
        <v>12</v>
      </c>
      <c r="H8" s="5" t="n">
        <f aca="false">F8-((I8*F8)/100)</f>
        <v>1</v>
      </c>
      <c r="I8" s="5" t="n">
        <v>90</v>
      </c>
      <c r="J8" s="1"/>
    </row>
    <row r="9" customFormat="false" ht="13.8" hidden="false" customHeight="false" outlineLevel="0" collapsed="false">
      <c r="C9" s="5" t="s">
        <v>19</v>
      </c>
      <c r="D9" s="5" t="s">
        <v>22</v>
      </c>
      <c r="E9" s="5" t="s">
        <v>23</v>
      </c>
      <c r="F9" s="5" t="n">
        <v>15</v>
      </c>
      <c r="G9" s="5" t="n">
        <v>12</v>
      </c>
      <c r="H9" s="5" t="n">
        <f aca="false">F9-((I9*F9)/100)</f>
        <v>0</v>
      </c>
      <c r="I9" s="8" t="n">
        <v>100</v>
      </c>
      <c r="J9" s="1"/>
    </row>
    <row r="10" customFormat="false" ht="13.8" hidden="false" customHeight="false" outlineLevel="0" collapsed="false">
      <c r="C10" s="5" t="s">
        <v>24</v>
      </c>
      <c r="D10" s="5" t="s">
        <v>25</v>
      </c>
      <c r="E10" s="5" t="s">
        <v>26</v>
      </c>
      <c r="F10" s="5" t="n">
        <v>15</v>
      </c>
      <c r="G10" s="5" t="n">
        <v>10</v>
      </c>
      <c r="H10" s="5" t="n">
        <f aca="false">F10-((I10*F10)/100)</f>
        <v>2.25</v>
      </c>
      <c r="I10" s="5" t="n">
        <v>85</v>
      </c>
      <c r="J10" s="1"/>
    </row>
    <row r="11" customFormat="false" ht="13.8" hidden="false" customHeight="false" outlineLevel="0" collapsed="false">
      <c r="C11" s="5" t="s">
        <v>27</v>
      </c>
      <c r="D11" s="5" t="s">
        <v>28</v>
      </c>
      <c r="E11" s="5" t="s">
        <v>26</v>
      </c>
      <c r="F11" s="5" t="n">
        <v>20</v>
      </c>
      <c r="G11" s="5" t="n">
        <v>40</v>
      </c>
      <c r="H11" s="5" t="n">
        <f aca="false">F11-((I11*F11)/100)</f>
        <v>1</v>
      </c>
      <c r="I11" s="5" t="n">
        <v>95</v>
      </c>
      <c r="J11" s="1"/>
    </row>
    <row r="12" customFormat="false" ht="13.8" hidden="false" customHeight="false" outlineLevel="0" collapsed="false">
      <c r="C12" s="5" t="s">
        <v>27</v>
      </c>
      <c r="D12" s="5" t="s">
        <v>28</v>
      </c>
      <c r="E12" s="5" t="s">
        <v>15</v>
      </c>
      <c r="F12" s="5" t="n">
        <v>20</v>
      </c>
      <c r="G12" s="5" t="n">
        <v>10</v>
      </c>
      <c r="H12" s="5" t="n">
        <f aca="false">F12-((I12*F12)/100)</f>
        <v>2</v>
      </c>
      <c r="I12" s="5" t="n">
        <v>90</v>
      </c>
      <c r="J12" s="1"/>
    </row>
    <row r="13" customFormat="false" ht="13.8" hidden="false" customHeight="false" outlineLevel="0" collapsed="false">
      <c r="C13" s="5" t="s">
        <v>27</v>
      </c>
      <c r="D13" s="5" t="s">
        <v>28</v>
      </c>
      <c r="E13" s="5" t="s">
        <v>29</v>
      </c>
      <c r="F13" s="5" t="n">
        <v>15</v>
      </c>
      <c r="G13" s="5" t="n">
        <v>20</v>
      </c>
      <c r="H13" s="5" t="n">
        <f aca="false">F13-((I13*F13)/100)</f>
        <v>0.75</v>
      </c>
      <c r="I13" s="5" t="n">
        <v>95</v>
      </c>
      <c r="J13" s="1"/>
    </row>
    <row r="14" customFormat="false" ht="13.8" hidden="false" customHeight="false" outlineLevel="0" collapsed="false">
      <c r="C14" s="5" t="s">
        <v>27</v>
      </c>
      <c r="D14" s="5" t="s">
        <v>30</v>
      </c>
      <c r="E14" s="5" t="s">
        <v>21</v>
      </c>
      <c r="F14" s="5" t="n">
        <v>10</v>
      </c>
      <c r="G14" s="5" t="n">
        <v>20</v>
      </c>
      <c r="H14" s="5" t="n">
        <f aca="false">F14-((I14*F14)/100)</f>
        <v>1.5</v>
      </c>
      <c r="I14" s="5" t="n">
        <v>85</v>
      </c>
      <c r="J14" s="1"/>
    </row>
    <row r="15" customFormat="false" ht="13.8" hidden="false" customHeight="false" outlineLevel="0" collapsed="false">
      <c r="C15" s="5" t="s">
        <v>27</v>
      </c>
      <c r="D15" s="5" t="s">
        <v>30</v>
      </c>
      <c r="E15" s="5" t="s">
        <v>29</v>
      </c>
      <c r="F15" s="5" t="n">
        <v>10</v>
      </c>
      <c r="G15" s="5" t="n">
        <v>15</v>
      </c>
      <c r="H15" s="5" t="n">
        <f aca="false">F15-((I15*F15)/100)</f>
        <v>0</v>
      </c>
      <c r="I15" s="5" t="n">
        <v>100</v>
      </c>
      <c r="J15" s="1"/>
    </row>
    <row r="16" customFormat="false" ht="13.8" hidden="false" customHeight="false" outlineLevel="0" collapsed="false">
      <c r="C16" s="5" t="s">
        <v>27</v>
      </c>
      <c r="D16" s="5" t="s">
        <v>31</v>
      </c>
      <c r="E16" s="5" t="s">
        <v>29</v>
      </c>
      <c r="F16" s="5" t="n">
        <v>10</v>
      </c>
      <c r="G16" s="5" t="n">
        <v>15</v>
      </c>
      <c r="H16" s="5" t="n">
        <f aca="false">F16-((I16*F16)/100)</f>
        <v>0</v>
      </c>
      <c r="I16" s="5" t="n">
        <v>100</v>
      </c>
      <c r="J16" s="1"/>
    </row>
    <row r="17" customFormat="false" ht="24.05" hidden="false" customHeight="false" outlineLevel="0" collapsed="false">
      <c r="C17" s="5" t="s">
        <v>32</v>
      </c>
      <c r="D17" s="9" t="s">
        <v>33</v>
      </c>
      <c r="E17" s="5" t="s">
        <v>26</v>
      </c>
      <c r="F17" s="5" t="n">
        <v>15</v>
      </c>
      <c r="G17" s="5" t="n">
        <v>15</v>
      </c>
      <c r="H17" s="5" t="n">
        <f aca="false">F17-((I17*F17)/100)</f>
        <v>0.75</v>
      </c>
      <c r="I17" s="5" t="n">
        <v>95</v>
      </c>
      <c r="J17" s="1"/>
    </row>
    <row r="18" customFormat="false" ht="13.8" hidden="false" customHeight="false" outlineLevel="0" collapsed="false">
      <c r="C18" s="5" t="s">
        <v>32</v>
      </c>
      <c r="D18" s="5" t="s">
        <v>34</v>
      </c>
      <c r="E18" s="3" t="s">
        <v>29</v>
      </c>
      <c r="F18" s="3" t="n">
        <v>20</v>
      </c>
      <c r="G18" s="3" t="n">
        <v>20</v>
      </c>
      <c r="H18" s="5" t="n">
        <f aca="false">F18-((I18*F18)/100)</f>
        <v>0.800000000000001</v>
      </c>
      <c r="I18" s="5" t="n">
        <v>96</v>
      </c>
      <c r="J18" s="1"/>
    </row>
    <row r="19" customFormat="false" ht="13.8" hidden="false" customHeight="false" outlineLevel="0" collapsed="false">
      <c r="C19" s="5" t="s">
        <v>32</v>
      </c>
      <c r="D19" s="5" t="s">
        <v>35</v>
      </c>
      <c r="E19" s="5" t="s">
        <v>29</v>
      </c>
      <c r="F19" s="5" t="n">
        <v>15</v>
      </c>
      <c r="G19" s="5" t="n">
        <v>20</v>
      </c>
      <c r="H19" s="5" t="n">
        <f aca="false">F19-((I19*F19)/100)</f>
        <v>0.300000000000001</v>
      </c>
      <c r="I19" s="5" t="n">
        <v>98</v>
      </c>
      <c r="J19" s="1"/>
    </row>
    <row r="20" customFormat="false" ht="13.8" hidden="false" customHeight="false" outlineLevel="0" collapsed="false">
      <c r="C20" s="5" t="s">
        <v>32</v>
      </c>
      <c r="D20" s="5" t="s">
        <v>36</v>
      </c>
      <c r="E20" s="5" t="s">
        <v>37</v>
      </c>
      <c r="F20" s="5" t="n">
        <v>20</v>
      </c>
      <c r="G20" s="5" t="n">
        <v>25</v>
      </c>
      <c r="H20" s="5" t="n">
        <f aca="false">F20-((I20*F20)/100)</f>
        <v>0</v>
      </c>
      <c r="I20" s="5" t="n">
        <v>100</v>
      </c>
      <c r="J20" s="1"/>
    </row>
    <row r="21" customFormat="false" ht="13.8" hidden="false" customHeight="false" outlineLevel="0" collapsed="false">
      <c r="C21" s="5" t="s">
        <v>32</v>
      </c>
      <c r="D21" s="5" t="s">
        <v>38</v>
      </c>
      <c r="E21" s="5" t="s">
        <v>26</v>
      </c>
      <c r="F21" s="5" t="n">
        <v>15</v>
      </c>
      <c r="G21" s="5" t="n">
        <v>30</v>
      </c>
      <c r="H21" s="5" t="n">
        <f aca="false">F21-((I21*F21)/100)</f>
        <v>1.5</v>
      </c>
      <c r="I21" s="5" t="n">
        <v>90</v>
      </c>
      <c r="J21" s="1"/>
    </row>
    <row r="22" customFormat="false" ht="13.8" hidden="false" customHeight="false" outlineLevel="0" collapsed="false">
      <c r="C22" s="5" t="s">
        <v>32</v>
      </c>
      <c r="D22" s="5" t="s">
        <v>38</v>
      </c>
      <c r="E22" s="5" t="s">
        <v>29</v>
      </c>
      <c r="F22" s="5" t="n">
        <v>25</v>
      </c>
      <c r="G22" s="5" t="n">
        <v>35</v>
      </c>
      <c r="H22" s="5" t="n">
        <f aca="false">F22-((I22*F22)/100)</f>
        <v>0</v>
      </c>
      <c r="I22" s="5" t="n">
        <v>100</v>
      </c>
      <c r="J22" s="1"/>
    </row>
    <row r="23" customFormat="false" ht="13.8" hidden="false" customHeight="false" outlineLevel="0" collapsed="false">
      <c r="C23" s="5" t="s">
        <v>32</v>
      </c>
      <c r="D23" s="5" t="s">
        <v>39</v>
      </c>
      <c r="E23" s="5" t="s">
        <v>37</v>
      </c>
      <c r="F23" s="5" t="n">
        <v>20</v>
      </c>
      <c r="G23" s="5" t="n">
        <v>40</v>
      </c>
      <c r="H23" s="5" t="n">
        <f aca="false">F23-((I23*F23)/100)</f>
        <v>0</v>
      </c>
      <c r="I23" s="5" t="n">
        <v>100</v>
      </c>
      <c r="J23" s="1"/>
    </row>
    <row r="24" customFormat="false" ht="13.8" hidden="false" customHeight="false" outlineLevel="0" collapsed="false">
      <c r="C24" s="6" t="s">
        <v>40</v>
      </c>
      <c r="D24" s="6"/>
      <c r="E24" s="6"/>
      <c r="F24" s="6"/>
      <c r="G24" s="7"/>
      <c r="H24" s="7" t="n">
        <f aca="false">F24-((I24*F24)/100)</f>
        <v>0</v>
      </c>
      <c r="I24" s="7"/>
      <c r="J24" s="1"/>
    </row>
    <row r="25" customFormat="false" ht="13.8" hidden="false" customHeight="false" outlineLevel="0" collapsed="false">
      <c r="C25" s="9" t="s">
        <v>41</v>
      </c>
      <c r="D25" s="9" t="s">
        <v>42</v>
      </c>
      <c r="E25" s="5" t="s">
        <v>21</v>
      </c>
      <c r="F25" s="5" t="n">
        <v>10</v>
      </c>
      <c r="G25" s="5" t="n">
        <v>10</v>
      </c>
      <c r="H25" s="5" t="n">
        <f aca="false">F25-((I25*F25)/100)</f>
        <v>1</v>
      </c>
      <c r="I25" s="5" t="n">
        <v>90</v>
      </c>
      <c r="J25" s="1"/>
    </row>
    <row r="26" customFormat="false" ht="13.8" hidden="false" customHeight="false" outlineLevel="0" collapsed="false">
      <c r="C26" s="9" t="s">
        <v>41</v>
      </c>
      <c r="D26" s="5" t="s">
        <v>43</v>
      </c>
      <c r="E26" s="9" t="s">
        <v>29</v>
      </c>
      <c r="F26" s="5" t="n">
        <v>10</v>
      </c>
      <c r="G26" s="5" t="n">
        <v>10</v>
      </c>
      <c r="H26" s="5" t="n">
        <f aca="false">F26-((I26*F26)/100)</f>
        <v>0</v>
      </c>
      <c r="I26" s="5" t="n">
        <v>100</v>
      </c>
      <c r="J26" s="1"/>
    </row>
    <row r="27" customFormat="false" ht="13.8" hidden="false" customHeight="false" outlineLevel="0" collapsed="false">
      <c r="C27" s="5" t="s">
        <v>24</v>
      </c>
      <c r="D27" s="5" t="s">
        <v>44</v>
      </c>
      <c r="E27" s="5" t="s">
        <v>26</v>
      </c>
      <c r="F27" s="5" t="n">
        <v>10</v>
      </c>
      <c r="G27" s="5" t="n">
        <v>5</v>
      </c>
      <c r="H27" s="5" t="n">
        <f aca="false">F27-((I27*F27)/100)</f>
        <v>0.5</v>
      </c>
      <c r="I27" s="5" t="n">
        <v>95</v>
      </c>
      <c r="J27" s="1"/>
    </row>
    <row r="28" customFormat="false" ht="13.8" hidden="false" customHeight="false" outlineLevel="0" collapsed="false">
      <c r="C28" s="5" t="s">
        <v>45</v>
      </c>
      <c r="D28" s="5" t="s">
        <v>46</v>
      </c>
      <c r="E28" s="5" t="s">
        <v>26</v>
      </c>
      <c r="F28" s="5" t="n">
        <v>15</v>
      </c>
      <c r="G28" s="5" t="n">
        <v>10</v>
      </c>
      <c r="H28" s="5" t="n">
        <f aca="false">F28-((I28*F28)/100)</f>
        <v>0.75</v>
      </c>
      <c r="I28" s="5" t="n">
        <v>95</v>
      </c>
      <c r="J28" s="1"/>
    </row>
    <row r="29" customFormat="false" ht="13.8" hidden="false" customHeight="false" outlineLevel="0" collapsed="false">
      <c r="C29" s="5" t="s">
        <v>45</v>
      </c>
      <c r="D29" s="5" t="s">
        <v>46</v>
      </c>
      <c r="E29" s="5" t="s">
        <v>47</v>
      </c>
      <c r="F29" s="5" t="n">
        <v>20</v>
      </c>
      <c r="G29" s="5" t="n">
        <v>10</v>
      </c>
      <c r="H29" s="5" t="n">
        <f aca="false">F29-((I29*F29)/100)</f>
        <v>0</v>
      </c>
      <c r="I29" s="5" t="n">
        <v>100</v>
      </c>
      <c r="J29" s="1"/>
    </row>
    <row r="30" customFormat="false" ht="13.8" hidden="false" customHeight="false" outlineLevel="0" collapsed="false">
      <c r="C30" s="5" t="s">
        <v>45</v>
      </c>
      <c r="D30" s="5" t="s">
        <v>46</v>
      </c>
      <c r="E30" s="5" t="s">
        <v>23</v>
      </c>
      <c r="F30" s="5" t="n">
        <v>10</v>
      </c>
      <c r="G30" s="5" t="n">
        <v>10</v>
      </c>
      <c r="H30" s="5" t="n">
        <f aca="false">F30-((I30*F30)/100)</f>
        <v>0</v>
      </c>
      <c r="I30" s="5" t="n">
        <v>100</v>
      </c>
      <c r="J30" s="1"/>
    </row>
    <row r="31" customFormat="false" ht="13.8" hidden="false" customHeight="false" outlineLevel="0" collapsed="false">
      <c r="C31" s="5" t="s">
        <v>45</v>
      </c>
      <c r="D31" s="5" t="s">
        <v>48</v>
      </c>
      <c r="E31" s="5" t="s">
        <v>26</v>
      </c>
      <c r="F31" s="5" t="n">
        <v>15</v>
      </c>
      <c r="G31" s="5" t="n">
        <v>15</v>
      </c>
      <c r="H31" s="5" t="n">
        <f aca="false">F31-((I31*F31)/100)</f>
        <v>0.75</v>
      </c>
      <c r="I31" s="5" t="n">
        <v>95</v>
      </c>
      <c r="J31" s="1"/>
    </row>
    <row r="32" customFormat="false" ht="13.8" hidden="false" customHeight="false" outlineLevel="0" collapsed="false">
      <c r="C32" s="5" t="s">
        <v>45</v>
      </c>
      <c r="D32" s="5" t="s">
        <v>48</v>
      </c>
      <c r="E32" s="5" t="s">
        <v>47</v>
      </c>
      <c r="F32" s="5" t="n">
        <v>20</v>
      </c>
      <c r="G32" s="5" t="n">
        <v>0</v>
      </c>
      <c r="H32" s="5" t="n">
        <f aca="false">F32-((I32*F32)/100)</f>
        <v>0</v>
      </c>
      <c r="I32" s="5" t="n">
        <v>100</v>
      </c>
      <c r="J32" s="1"/>
    </row>
    <row r="33" customFormat="false" ht="13.8" hidden="false" customHeight="false" outlineLevel="0" collapsed="false">
      <c r="C33" s="5" t="s">
        <v>45</v>
      </c>
      <c r="D33" s="5" t="s">
        <v>48</v>
      </c>
      <c r="E33" s="5" t="s">
        <v>23</v>
      </c>
      <c r="F33" s="5" t="n">
        <v>20</v>
      </c>
      <c r="G33" s="5" t="n">
        <v>15</v>
      </c>
      <c r="H33" s="5" t="n">
        <f aca="false">F33-((I33*F33)/100)</f>
        <v>0</v>
      </c>
      <c r="I33" s="5" t="n">
        <v>100</v>
      </c>
      <c r="J33" s="1"/>
    </row>
    <row r="34" customFormat="false" ht="46.95" hidden="false" customHeight="false" outlineLevel="0" collapsed="false">
      <c r="C34" s="5" t="s">
        <v>49</v>
      </c>
      <c r="D34" s="9" t="s">
        <v>50</v>
      </c>
      <c r="E34" s="5" t="s">
        <v>26</v>
      </c>
      <c r="F34" s="5" t="n">
        <v>20</v>
      </c>
      <c r="G34" s="5" t="n">
        <v>40</v>
      </c>
      <c r="H34" s="5" t="n">
        <f aca="false">F34-((I34*F34)/100)</f>
        <v>0.399999999999999</v>
      </c>
      <c r="I34" s="5" t="n">
        <v>98</v>
      </c>
      <c r="J34" s="1"/>
    </row>
    <row r="35" customFormat="false" ht="13.8" hidden="false" customHeight="false" outlineLevel="0" collapsed="false">
      <c r="C35" s="5" t="s">
        <v>49</v>
      </c>
      <c r="D35" s="5" t="s">
        <v>51</v>
      </c>
      <c r="E35" s="5" t="s">
        <v>47</v>
      </c>
      <c r="F35" s="5" t="n">
        <v>20</v>
      </c>
      <c r="G35" s="5" t="n">
        <v>15</v>
      </c>
      <c r="H35" s="5" t="n">
        <f aca="false">F35-((I35*F35)/100)</f>
        <v>0</v>
      </c>
      <c r="I35" s="5" t="n">
        <v>100</v>
      </c>
      <c r="J35" s="1"/>
    </row>
    <row r="36" customFormat="false" ht="13.8" hidden="false" customHeight="false" outlineLevel="0" collapsed="false">
      <c r="C36" s="5" t="s">
        <v>49</v>
      </c>
      <c r="D36" s="5" t="s">
        <v>51</v>
      </c>
      <c r="E36" s="5" t="s">
        <v>23</v>
      </c>
      <c r="F36" s="5" t="n">
        <v>15</v>
      </c>
      <c r="G36" s="5" t="n">
        <v>15</v>
      </c>
      <c r="H36" s="5" t="n">
        <f aca="false">F36-((I36*F36)/100)</f>
        <v>0</v>
      </c>
      <c r="I36" s="5" t="n">
        <v>100</v>
      </c>
      <c r="J36" s="1"/>
    </row>
    <row r="37" customFormat="false" ht="13.8" hidden="false" customHeight="false" outlineLevel="0" collapsed="false">
      <c r="D37" s="5"/>
      <c r="E37" s="5"/>
      <c r="F37" s="10" t="s">
        <v>52</v>
      </c>
      <c r="G37" s="11" t="n">
        <f aca="false">SUM(G4:G6,G8:G22,G25:G36)</f>
        <v>537</v>
      </c>
      <c r="H37" s="12"/>
      <c r="I37" s="13" t="n">
        <f aca="false">AVERAGE(,I4:I22,I25:I36)</f>
        <v>93.2903225806452</v>
      </c>
      <c r="J37" s="13" t="s">
        <v>53</v>
      </c>
    </row>
    <row r="38" customFormat="false" ht="13.8" hidden="false" customHeight="false" outlineLevel="0" collapsed="false">
      <c r="C38" s="4" t="s">
        <v>54</v>
      </c>
      <c r="D38" s="5"/>
      <c r="E38" s="5"/>
      <c r="F38" s="14" t="s">
        <v>55</v>
      </c>
      <c r="G38" s="15" t="n">
        <f aca="false">G37/60</f>
        <v>8.95</v>
      </c>
      <c r="H38" s="5"/>
      <c r="I38" s="5"/>
      <c r="J38" s="1"/>
    </row>
    <row r="39" customFormat="false" ht="13.8" hidden="false" customHeight="false" outlineLevel="0" collapsed="false">
      <c r="C39" s="6" t="s">
        <v>40</v>
      </c>
      <c r="D39" s="6"/>
      <c r="E39" s="6"/>
      <c r="F39" s="6"/>
      <c r="G39" s="7"/>
      <c r="H39" s="7" t="n">
        <f aca="false">F39-((I39*F39)/100)</f>
        <v>0</v>
      </c>
      <c r="I39" s="7"/>
      <c r="J39" s="1"/>
    </row>
    <row r="40" customFormat="false" ht="13.8" hidden="false" customHeight="false" outlineLevel="0" collapsed="false">
      <c r="C40" s="5" t="s">
        <v>56</v>
      </c>
      <c r="D40" s="5" t="s">
        <v>57</v>
      </c>
      <c r="E40" s="5" t="s">
        <v>15</v>
      </c>
      <c r="F40" s="5" t="n">
        <v>10</v>
      </c>
      <c r="G40" s="5" t="n">
        <v>15</v>
      </c>
      <c r="H40" s="5" t="n">
        <f aca="false">F40-((I40*F40)/100)</f>
        <v>0</v>
      </c>
      <c r="I40" s="5" t="n">
        <v>100</v>
      </c>
      <c r="J40" s="1"/>
    </row>
    <row r="41" customFormat="false" ht="13.8" hidden="false" customHeight="false" outlineLevel="0" collapsed="false">
      <c r="C41" s="5" t="s">
        <v>56</v>
      </c>
      <c r="D41" s="5" t="s">
        <v>58</v>
      </c>
      <c r="E41" s="5" t="s">
        <v>29</v>
      </c>
      <c r="F41" s="5" t="n">
        <v>15</v>
      </c>
      <c r="G41" s="5" t="n">
        <v>20</v>
      </c>
      <c r="H41" s="5" t="n">
        <f aca="false">F41-((I41*F41)/100)</f>
        <v>0</v>
      </c>
      <c r="I41" s="5" t="n">
        <v>100</v>
      </c>
      <c r="J41" s="1"/>
    </row>
    <row r="42" customFormat="false" ht="35.5" hidden="false" customHeight="false" outlineLevel="0" collapsed="false">
      <c r="C42" s="5" t="s">
        <v>56</v>
      </c>
      <c r="D42" s="9" t="s">
        <v>59</v>
      </c>
      <c r="E42" s="5" t="s">
        <v>21</v>
      </c>
      <c r="F42" s="5" t="n">
        <v>15</v>
      </c>
      <c r="G42" s="5" t="n">
        <v>17</v>
      </c>
      <c r="H42" s="5" t="n">
        <f aca="false">F42-((I42*F42)/100)</f>
        <v>0</v>
      </c>
      <c r="I42" s="5" t="n">
        <v>100</v>
      </c>
      <c r="J42" s="1"/>
    </row>
    <row r="43" customFormat="false" ht="46.95" hidden="false" customHeight="false" outlineLevel="0" collapsed="false">
      <c r="C43" s="5" t="s">
        <v>56</v>
      </c>
      <c r="D43" s="9" t="s">
        <v>60</v>
      </c>
      <c r="E43" s="5" t="s">
        <v>29</v>
      </c>
      <c r="F43" s="5" t="n">
        <v>60</v>
      </c>
      <c r="G43" s="5" t="n">
        <v>90</v>
      </c>
      <c r="H43" s="5" t="n">
        <f aca="false">F43-((I43*F43)/100)</f>
        <v>0</v>
      </c>
      <c r="I43" s="5" t="n">
        <v>100</v>
      </c>
      <c r="J43" s="1"/>
    </row>
    <row r="44" customFormat="false" ht="35.5" hidden="false" customHeight="false" outlineLevel="0" collapsed="false">
      <c r="C44" s="9" t="s">
        <v>61</v>
      </c>
      <c r="D44" s="5" t="s">
        <v>62</v>
      </c>
      <c r="E44" s="5" t="s">
        <v>29</v>
      </c>
      <c r="F44" s="5" t="n">
        <v>10</v>
      </c>
      <c r="G44" s="5" t="n">
        <v>20</v>
      </c>
      <c r="H44" s="5" t="n">
        <f aca="false">F44-((I44*F44)/100)</f>
        <v>0</v>
      </c>
      <c r="I44" s="5" t="n">
        <v>100</v>
      </c>
      <c r="J44" s="1"/>
    </row>
    <row r="45" customFormat="false" ht="35.5" hidden="false" customHeight="false" outlineLevel="0" collapsed="false">
      <c r="C45" s="9" t="s">
        <v>61</v>
      </c>
      <c r="D45" s="5" t="s">
        <v>63</v>
      </c>
      <c r="E45" s="5" t="s">
        <v>26</v>
      </c>
      <c r="F45" s="5" t="n">
        <v>15</v>
      </c>
      <c r="G45" s="5" t="n">
        <v>10</v>
      </c>
      <c r="H45" s="5" t="n">
        <f aca="false">F45-((I45*F45)/100)</f>
        <v>0</v>
      </c>
      <c r="I45" s="5" t="n">
        <v>100</v>
      </c>
      <c r="J45" s="1"/>
    </row>
    <row r="46" customFormat="false" ht="35.5" hidden="false" customHeight="false" outlineLevel="0" collapsed="false">
      <c r="C46" s="9" t="s">
        <v>64</v>
      </c>
      <c r="D46" s="9" t="s">
        <v>65</v>
      </c>
      <c r="E46" s="5" t="s">
        <v>15</v>
      </c>
      <c r="F46" s="5" t="n">
        <v>10</v>
      </c>
      <c r="G46" s="5" t="n">
        <v>10</v>
      </c>
      <c r="H46" s="5" t="n">
        <f aca="false">F46-((I46*F46)/100)</f>
        <v>0</v>
      </c>
      <c r="I46" s="5" t="n">
        <v>100</v>
      </c>
      <c r="J46" s="1"/>
    </row>
    <row r="47" customFormat="false" ht="35.5" hidden="false" customHeight="false" outlineLevel="0" collapsed="false">
      <c r="C47" s="9" t="s">
        <v>64</v>
      </c>
      <c r="D47" s="9" t="s">
        <v>65</v>
      </c>
      <c r="E47" s="5" t="s">
        <v>29</v>
      </c>
      <c r="F47" s="5" t="n">
        <v>10</v>
      </c>
      <c r="G47" s="5" t="n">
        <v>20</v>
      </c>
      <c r="H47" s="5" t="n">
        <f aca="false">F47-((I47*F47)/100)</f>
        <v>0</v>
      </c>
      <c r="I47" s="5" t="n">
        <v>100</v>
      </c>
      <c r="J47" s="1"/>
    </row>
    <row r="48" customFormat="false" ht="24.05" hidden="false" customHeight="false" outlineLevel="0" collapsed="false">
      <c r="C48" s="9" t="s">
        <v>66</v>
      </c>
      <c r="D48" s="5" t="s">
        <v>67</v>
      </c>
      <c r="E48" s="5" t="s">
        <v>21</v>
      </c>
      <c r="F48" s="5" t="n">
        <v>20</v>
      </c>
      <c r="G48" s="5" t="n">
        <v>30</v>
      </c>
      <c r="H48" s="5" t="n">
        <f aca="false">F48-((I48*F48)/100)</f>
        <v>0.199999999999999</v>
      </c>
      <c r="I48" s="5" t="n">
        <v>99</v>
      </c>
      <c r="J48" s="1"/>
    </row>
    <row r="49" customFormat="false" ht="24.05" hidden="false" customHeight="false" outlineLevel="0" collapsed="false">
      <c r="C49" s="9" t="s">
        <v>66</v>
      </c>
      <c r="D49" s="9" t="s">
        <v>68</v>
      </c>
      <c r="E49" s="5" t="s">
        <v>29</v>
      </c>
      <c r="F49" s="5" t="n">
        <v>20</v>
      </c>
      <c r="G49" s="5" t="n">
        <v>20</v>
      </c>
      <c r="H49" s="5" t="n">
        <f aca="false">F49-((I49*F49)/100)</f>
        <v>0</v>
      </c>
      <c r="I49" s="5" t="n">
        <v>100</v>
      </c>
      <c r="J49" s="1"/>
    </row>
    <row r="50" customFormat="false" ht="35.5" hidden="false" customHeight="false" outlineLevel="0" collapsed="false">
      <c r="C50" s="9" t="s">
        <v>66</v>
      </c>
      <c r="D50" s="9" t="s">
        <v>69</v>
      </c>
      <c r="E50" s="5" t="s">
        <v>70</v>
      </c>
      <c r="F50" s="5" t="n">
        <v>15</v>
      </c>
      <c r="G50" s="5" t="n">
        <v>20</v>
      </c>
      <c r="H50" s="5" t="n">
        <f aca="false">F50-((I50*F50)/100)</f>
        <v>0</v>
      </c>
      <c r="I50" s="5" t="n">
        <v>100</v>
      </c>
      <c r="J50" s="1"/>
    </row>
    <row r="51" customFormat="false" ht="24.05" hidden="false" customHeight="false" outlineLevel="0" collapsed="false">
      <c r="C51" s="9" t="s">
        <v>66</v>
      </c>
      <c r="D51" s="5" t="s">
        <v>71</v>
      </c>
      <c r="E51" s="5" t="s">
        <v>21</v>
      </c>
      <c r="F51" s="5" t="n">
        <v>30</v>
      </c>
      <c r="G51" s="5" t="n">
        <v>32</v>
      </c>
      <c r="H51" s="5" t="n">
        <f aca="false">F51-((I51*F51)/100)</f>
        <v>3</v>
      </c>
      <c r="I51" s="5" t="n">
        <v>90</v>
      </c>
      <c r="J51" s="1"/>
    </row>
    <row r="52" customFormat="false" ht="24.05" hidden="false" customHeight="false" outlineLevel="0" collapsed="false">
      <c r="C52" s="9" t="s">
        <v>66</v>
      </c>
      <c r="D52" s="5" t="s">
        <v>71</v>
      </c>
      <c r="E52" s="5" t="s">
        <v>29</v>
      </c>
      <c r="F52" s="5" t="n">
        <v>25</v>
      </c>
      <c r="G52" s="5" t="n">
        <v>30</v>
      </c>
      <c r="H52" s="5" t="n">
        <f aca="false">F52-((I52*F52)/100)</f>
        <v>0</v>
      </c>
      <c r="I52" s="5" t="n">
        <v>100</v>
      </c>
      <c r="J52" s="1"/>
    </row>
    <row r="53" customFormat="false" ht="35.5" hidden="false" customHeight="false" outlineLevel="0" collapsed="false">
      <c r="C53" s="9" t="s">
        <v>72</v>
      </c>
      <c r="D53" s="5" t="s">
        <v>73</v>
      </c>
      <c r="E53" s="5" t="s">
        <v>21</v>
      </c>
      <c r="F53" s="5" t="n">
        <v>20</v>
      </c>
      <c r="G53" s="5" t="n">
        <v>20</v>
      </c>
      <c r="H53" s="5" t="n">
        <f aca="false">F53-((I53*F53)/100)</f>
        <v>2</v>
      </c>
      <c r="I53" s="5" t="n">
        <v>90</v>
      </c>
      <c r="J53" s="1"/>
    </row>
    <row r="54" customFormat="false" ht="35.5" hidden="false" customHeight="false" outlineLevel="0" collapsed="false">
      <c r="C54" s="9" t="s">
        <v>72</v>
      </c>
      <c r="D54" s="5" t="s">
        <v>74</v>
      </c>
      <c r="E54" s="5" t="s">
        <v>37</v>
      </c>
      <c r="F54" s="5" t="n">
        <v>20</v>
      </c>
      <c r="G54" s="5" t="n">
        <v>25</v>
      </c>
      <c r="H54" s="5" t="n">
        <f aca="false">F54-((I54*F54)/100)</f>
        <v>0</v>
      </c>
      <c r="I54" s="5" t="n">
        <v>100</v>
      </c>
      <c r="J54" s="1"/>
    </row>
    <row r="55" customFormat="false" ht="35.5" hidden="false" customHeight="false" outlineLevel="0" collapsed="false">
      <c r="C55" s="9" t="s">
        <v>72</v>
      </c>
      <c r="D55" s="5" t="s">
        <v>74</v>
      </c>
      <c r="E55" s="5" t="s">
        <v>29</v>
      </c>
      <c r="F55" s="5" t="n">
        <v>20</v>
      </c>
      <c r="G55" s="5" t="n">
        <v>25</v>
      </c>
      <c r="H55" s="5" t="n">
        <f aca="false">F55-((I55*F55)/100)</f>
        <v>0</v>
      </c>
      <c r="I55" s="5" t="n">
        <v>100</v>
      </c>
      <c r="J55" s="1"/>
    </row>
    <row r="56" customFormat="false" ht="35.5" hidden="false" customHeight="false" outlineLevel="0" collapsed="false">
      <c r="C56" s="9" t="s">
        <v>72</v>
      </c>
      <c r="D56" s="5" t="s">
        <v>75</v>
      </c>
      <c r="E56" s="5" t="s">
        <v>21</v>
      </c>
      <c r="F56" s="5" t="n">
        <v>15</v>
      </c>
      <c r="G56" s="5" t="n">
        <v>20</v>
      </c>
      <c r="H56" s="5" t="n">
        <f aca="false">F56-((I56*F56)/100)</f>
        <v>1.65</v>
      </c>
      <c r="I56" s="5" t="n">
        <v>89</v>
      </c>
      <c r="J56" s="1"/>
    </row>
    <row r="57" customFormat="false" ht="35.5" hidden="false" customHeight="false" outlineLevel="0" collapsed="false">
      <c r="C57" s="9" t="s">
        <v>72</v>
      </c>
      <c r="D57" s="5" t="s">
        <v>75</v>
      </c>
      <c r="E57" s="5" t="s">
        <v>29</v>
      </c>
      <c r="F57" s="5" t="n">
        <v>20</v>
      </c>
      <c r="G57" s="5" t="n">
        <v>30</v>
      </c>
      <c r="H57" s="5" t="n">
        <f aca="false">F57-((I57*F57)/100)</f>
        <v>0</v>
      </c>
      <c r="I57" s="5" t="n">
        <v>100</v>
      </c>
      <c r="J57" s="1"/>
    </row>
    <row r="58" customFormat="false" ht="13.8" hidden="false" customHeight="false" outlineLevel="0" collapsed="false">
      <c r="C58" s="6" t="s">
        <v>18</v>
      </c>
      <c r="D58" s="6"/>
      <c r="E58" s="6"/>
      <c r="F58" s="6"/>
      <c r="G58" s="7"/>
      <c r="H58" s="7" t="n">
        <f aca="false">F58-((I58*F58)/100)</f>
        <v>0</v>
      </c>
      <c r="I58" s="7"/>
      <c r="J58" s="1"/>
    </row>
    <row r="59" customFormat="false" ht="13.8" hidden="false" customHeight="false" outlineLevel="0" collapsed="false">
      <c r="C59" s="5" t="s">
        <v>76</v>
      </c>
      <c r="D59" s="5" t="s">
        <v>77</v>
      </c>
      <c r="E59" s="5" t="s">
        <v>29</v>
      </c>
      <c r="F59" s="5" t="n">
        <v>20</v>
      </c>
      <c r="G59" s="5" t="n">
        <v>20</v>
      </c>
      <c r="H59" s="5" t="n">
        <f aca="false">F59-((I59*F59)/100)</f>
        <v>0</v>
      </c>
      <c r="I59" s="5" t="n">
        <v>100</v>
      </c>
      <c r="J59" s="1"/>
    </row>
    <row r="60" customFormat="false" ht="13.8" hidden="false" customHeight="false" outlineLevel="0" collapsed="false">
      <c r="C60" s="5" t="s">
        <v>76</v>
      </c>
      <c r="D60" s="5" t="s">
        <v>78</v>
      </c>
      <c r="E60" s="5" t="s">
        <v>29</v>
      </c>
      <c r="F60" s="5" t="n">
        <v>20</v>
      </c>
      <c r="G60" s="5" t="n">
        <v>20</v>
      </c>
      <c r="H60" s="5" t="n">
        <f aca="false">F60-((I60*F60)/100)</f>
        <v>0</v>
      </c>
      <c r="I60" s="5" t="n">
        <v>100</v>
      </c>
      <c r="J60" s="1"/>
    </row>
    <row r="61" customFormat="false" ht="13.8" hidden="false" customHeight="false" outlineLevel="0" collapsed="false">
      <c r="C61" s="5" t="s">
        <v>76</v>
      </c>
      <c r="D61" s="5" t="s">
        <v>79</v>
      </c>
      <c r="E61" s="5" t="s">
        <v>21</v>
      </c>
      <c r="F61" s="5" t="n">
        <v>15</v>
      </c>
      <c r="G61" s="5" t="n">
        <v>20</v>
      </c>
      <c r="H61" s="5" t="n">
        <f aca="false">F61-((I61*F61)/100)</f>
        <v>0</v>
      </c>
      <c r="I61" s="5" t="n">
        <v>100</v>
      </c>
      <c r="J61" s="1"/>
    </row>
    <row r="62" customFormat="false" ht="13.8" hidden="false" customHeight="false" outlineLevel="0" collapsed="false">
      <c r="F62" s="15" t="s">
        <v>80</v>
      </c>
      <c r="G62" s="15" t="n">
        <f aca="false">SUM(G40:G57,G59:G61)</f>
        <v>514</v>
      </c>
      <c r="H62" s="13"/>
      <c r="I62" s="16" t="n">
        <f aca="false">AVERAGE(I40:I57,I59:I61)</f>
        <v>98.4761904761905</v>
      </c>
      <c r="J62" s="13" t="s">
        <v>53</v>
      </c>
    </row>
    <row r="63" customFormat="false" ht="13.8" hidden="false" customHeight="false" outlineLevel="0" collapsed="false">
      <c r="F63" s="15" t="s">
        <v>81</v>
      </c>
      <c r="G63" s="15" t="n">
        <f aca="false">G62/60</f>
        <v>8.56666666666667</v>
      </c>
      <c r="I63" s="1"/>
      <c r="J63" s="1"/>
    </row>
    <row r="64" customFormat="false" ht="13.8" hidden="false" customHeight="false" outlineLevel="0" collapsed="false">
      <c r="I64" s="1"/>
      <c r="J6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3051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Mirado Mamiar</dc:creator>
  <dc:description/>
  <dc:language>en-US</dc:language>
  <cp:lastModifiedBy/>
  <dcterms:modified xsi:type="dcterms:W3CDTF">2024-05-15T09:22:06Z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